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caCola Retornable" sheetId="1" r:id="rId5"/>
    <sheet state="visible" name="Garrafon 20L" sheetId="2" r:id="rId6"/>
  </sheets>
  <definedNames>
    <definedName hidden="1" localSheetId="0" name="_xlnm._FilterDatabase">'CocaCola Retornable'!$G$30</definedName>
  </definedNames>
  <calcPr/>
</workbook>
</file>

<file path=xl/sharedStrings.xml><?xml version="1.0" encoding="utf-8"?>
<sst xmlns="http://schemas.openxmlformats.org/spreadsheetml/2006/main" count="470" uniqueCount="210">
  <si>
    <t>CocaCola Retornable</t>
  </si>
  <si>
    <t>Cálculos indicadores para Coca-cola retornable</t>
  </si>
  <si>
    <t>Máquina Real (Referencia)</t>
  </si>
  <si>
    <t>Proceso en Plant Sim</t>
  </si>
  <si>
    <t>ProcTime (s)</t>
  </si>
  <si>
    <t>MTBF (s)</t>
  </si>
  <si>
    <t>MTTR (s)</t>
  </si>
  <si>
    <t>Set-up Time (s)</t>
  </si>
  <si>
    <t>Indicador</t>
  </si>
  <si>
    <t>Siglas</t>
  </si>
  <si>
    <t>Valor</t>
  </si>
  <si>
    <t>Unidad</t>
  </si>
  <si>
    <t>Análisis</t>
  </si>
  <si>
    <t>Fórmula</t>
  </si>
  <si>
    <t>Krones Linapac II</t>
  </si>
  <si>
    <t>Desempacadora/Empacadora</t>
  </si>
  <si>
    <t>3.6 (Caja)</t>
  </si>
  <si>
    <t>900 (15 min)</t>
  </si>
  <si>
    <t>https://www.krones.com/es/productos/maquinas/encajonadora-y-desencajonadora-con-columna-elevadora.php</t>
  </si>
  <si>
    <t>Tiempo netro de trabajo disponible</t>
  </si>
  <si>
    <t>T_D</t>
  </si>
  <si>
    <t>s</t>
  </si>
  <si>
    <t>Valor tomado de Coca Cola a partir de su producción mínima por hora.</t>
  </si>
  <si>
    <t>-</t>
  </si>
  <si>
    <t>Krones Lavatec E2</t>
  </si>
  <si>
    <t>Lavadora</t>
  </si>
  <si>
    <t>0.15 (Bot)</t>
  </si>
  <si>
    <t>3,600 (1 h)*</t>
  </si>
  <si>
    <t>https://www.krones.com/es/productos/maquinas/lavadoras-con-entrada-y-salida-juntas-lavatec-e.php</t>
  </si>
  <si>
    <t>Demanda mínima</t>
  </si>
  <si>
    <t>D</t>
  </si>
  <si>
    <t>botella</t>
  </si>
  <si>
    <t>Krones Linatronic M</t>
  </si>
  <si>
    <t>Inspección (EBI)</t>
  </si>
  <si>
    <t>600 (10 min)</t>
  </si>
  <si>
    <t>https://www.krones.com/es/productos/maquinas/inspeccionadora-de-botellas-vacioscon-tecnologia-de-deep-learning-linatronic-ai.php</t>
  </si>
  <si>
    <t>Takt time</t>
  </si>
  <si>
    <t>Takt</t>
  </si>
  <si>
    <t>s / botella</t>
  </si>
  <si>
    <t>T_D / D</t>
  </si>
  <si>
    <t>Krones Modulfill HES</t>
  </si>
  <si>
    <t>Llenadora/Taponadora</t>
  </si>
  <si>
    <t>2,700 (45 min)</t>
  </si>
  <si>
    <t>https://www.krones.com/es/productos/maquinas/modulfill-hes-cerveza.php</t>
  </si>
  <si>
    <t>Tiempo de operación total (procesos)</t>
  </si>
  <si>
    <t>T_o_total</t>
  </si>
  <si>
    <t>Valor tomado de acuerdo a VSM (para una botella desde el lavado hasta el embalaje)</t>
  </si>
  <si>
    <t>Si hubieran 1440 botellas en linea y se hicieran durante los 136 segundos (dan los cálculos para la producción)</t>
  </si>
  <si>
    <t>Videojet 1880 (CIJ)</t>
  </si>
  <si>
    <t>Codificadora</t>
  </si>
  <si>
    <t>1,800 (30 min)</t>
  </si>
  <si>
    <t>https://www.videojet.es/es/homepage/products/continuous-inkjet-printers/videojet-1880-plus.html</t>
  </si>
  <si>
    <t>Tiempo de manipulación de la parte total</t>
  </si>
  <si>
    <t>T_h_total</t>
  </si>
  <si>
    <t>Valor tomado principalmente de desplazamientos (para una botella desde el lavado hasta el almacenamiento)</t>
  </si>
  <si>
    <t>Tiempo de manipulación de la herramienta total</t>
  </si>
  <si>
    <t>T_th_total</t>
  </si>
  <si>
    <t>Valor tomado de preparación para una producción de 8 horas con cambio de bebida</t>
  </si>
  <si>
    <t>Tiempo de ciclo de una botella</t>
  </si>
  <si>
    <t>T_C</t>
  </si>
  <si>
    <t>Tamaño de lote</t>
  </si>
  <si>
    <t>Q</t>
  </si>
  <si>
    <t>Tiempo de alistamiento de un lote</t>
  </si>
  <si>
    <t>T_su</t>
  </si>
  <si>
    <t>Si se toman 1h por cada 8h de trabajo, y en esas 7h restantes producen minimo 140.000 botellas, para 1440 botellas sería...</t>
  </si>
  <si>
    <t>Tiempo de producción de un lote</t>
  </si>
  <si>
    <t>T_b</t>
  </si>
  <si>
    <t>min</t>
  </si>
  <si>
    <t>cantidad de lotes requerida</t>
  </si>
  <si>
    <t>&lt; 3600</t>
  </si>
  <si>
    <t>Tiempo no operativo de un lote</t>
  </si>
  <si>
    <t>T_no</t>
  </si>
  <si>
    <t>Estimado mientras se mantengan botellas seguidas siempre, ya que solo se cuenta el tiempo en que la primera botella llega al final de la línea (por cada 8 horas), de ahí en adelante todas las botellas van de seguido y el tiempo entre cada una es mínimo (distancia minima). Todo esto bajo supuestos de errores infimos</t>
  </si>
  <si>
    <t>Tiempo total de fabricación de un lote</t>
  </si>
  <si>
    <t>T_no + T_b</t>
  </si>
  <si>
    <t>,</t>
  </si>
  <si>
    <t>Tiempo de producción por unidad</t>
  </si>
  <si>
    <t>T_p</t>
  </si>
  <si>
    <t>Tasa de producción</t>
  </si>
  <si>
    <t>R_p</t>
  </si>
  <si>
    <t>botella / hora</t>
  </si>
  <si>
    <t>Número de estaciones</t>
  </si>
  <si>
    <t>n</t>
  </si>
  <si>
    <t>estaciones</t>
  </si>
  <si>
    <t>Número de turnos por periodo</t>
  </si>
  <si>
    <t>S</t>
  </si>
  <si>
    <t>turnos / semana</t>
  </si>
  <si>
    <t>Número de horas por turno</t>
  </si>
  <si>
    <t>H</t>
  </si>
  <si>
    <t>horas</t>
  </si>
  <si>
    <t xml:space="preserve">Capacidad de producción </t>
  </si>
  <si>
    <t>PC</t>
  </si>
  <si>
    <t>botellas / semana</t>
  </si>
  <si>
    <t>Cantidad realmente producida por la fabrica</t>
  </si>
  <si>
    <t>Cambiar de acuerdo a lo que haga la fabrica</t>
  </si>
  <si>
    <t>Utilización: Fracción en la que se está usando la planta de producción con relación a la capacidad</t>
  </si>
  <si>
    <t>U</t>
  </si>
  <si>
    <t>%</t>
  </si>
  <si>
    <t>Lavado tiempo de operación</t>
  </si>
  <si>
    <t>Tc1</t>
  </si>
  <si>
    <t>Lavado tiempo de no operación (después de terminar la operación)</t>
  </si>
  <si>
    <t>Tno1</t>
  </si>
  <si>
    <t>Llenado tiempo de operación</t>
  </si>
  <si>
    <t>Tc2</t>
  </si>
  <si>
    <t>Llenado tiempo de no operación (después de terminar la operación)</t>
  </si>
  <si>
    <t>Tno2</t>
  </si>
  <si>
    <t>Sellado tiempo de operación</t>
  </si>
  <si>
    <t>Tc3</t>
  </si>
  <si>
    <t>Sellado tiempo de no operación (después de terminar la operación)</t>
  </si>
  <si>
    <t>Tno3</t>
  </si>
  <si>
    <t>Etiquetado tiempo de operación</t>
  </si>
  <si>
    <t>Tc4</t>
  </si>
  <si>
    <t>Etiquetado tiempo de no operación (después de terminar la operación)</t>
  </si>
  <si>
    <t>Tno4</t>
  </si>
  <si>
    <t>Empaque tiempo de operación</t>
  </si>
  <si>
    <t>Tc5</t>
  </si>
  <si>
    <t>Empaque tiempo de no operación (después de terminar la operación)</t>
  </si>
  <si>
    <t>Tno5</t>
  </si>
  <si>
    <t>Paletizado tiempo de operación</t>
  </si>
  <si>
    <t>Tc6</t>
  </si>
  <si>
    <t>Paletizado tiempo de no operación (después de terminar la operación)</t>
  </si>
  <si>
    <t>Tno6</t>
  </si>
  <si>
    <t>Embalaje tiempo de operación</t>
  </si>
  <si>
    <t>Tc7</t>
  </si>
  <si>
    <t>Embalaje tiempo de no operación (después de terminar la operación)</t>
  </si>
  <si>
    <t>Tno7</t>
  </si>
  <si>
    <t>Almacenamiento tiempo de operación</t>
  </si>
  <si>
    <t>Tc8</t>
  </si>
  <si>
    <t>TIempo si se toma 1 pallet por cada trayecto, si se mueven 2 pallets por trayecto se reduce a la mitad, como en Tocancipá</t>
  </si>
  <si>
    <t>Tiempo de alistamiento más alto</t>
  </si>
  <si>
    <t>T_su_max</t>
  </si>
  <si>
    <t>Se podría dejar igual a T_su pero este se hace con una división de un valor más grande, o dejar el tiempo que se considere que se demora en alistarse la máquina más demorada (desconocido). Se deja en 120s por ahora</t>
  </si>
  <si>
    <t>Manufacturing Lead Time</t>
  </si>
  <si>
    <t>MLT</t>
  </si>
  <si>
    <t>Tiempo total de la planta</t>
  </si>
  <si>
    <t>Tt</t>
  </si>
  <si>
    <t>Se tomó por cada turno</t>
  </si>
  <si>
    <t>Tiempo de inactividad planeada</t>
  </si>
  <si>
    <t>Tip</t>
  </si>
  <si>
    <t>1h de preparación</t>
  </si>
  <si>
    <t>Tiempo de ejecución planeado</t>
  </si>
  <si>
    <t>Tep</t>
  </si>
  <si>
    <t>Tiempo de inactividad no planeada</t>
  </si>
  <si>
    <t>Tnp</t>
  </si>
  <si>
    <t>3% por fallas asumido</t>
  </si>
  <si>
    <t>Tiempo de ejecución real (disponible para producir)</t>
  </si>
  <si>
    <t>Ter</t>
  </si>
  <si>
    <t>Disponibilidad (cálculo por tiempos de ejecución)</t>
  </si>
  <si>
    <t>A</t>
  </si>
  <si>
    <t>Tiempo promedio entre fallas</t>
  </si>
  <si>
    <t>MTBF</t>
  </si>
  <si>
    <t>Tiempo promedio de reparación</t>
  </si>
  <si>
    <t>MTTR</t>
  </si>
  <si>
    <t>Disponibilidad (cálculo por tiempos entre fallas)</t>
  </si>
  <si>
    <t>Volumen real de producción por turno</t>
  </si>
  <si>
    <t>VRP</t>
  </si>
  <si>
    <t>botellas</t>
  </si>
  <si>
    <t>Se asume el 97%. Se toma como base R_P</t>
  </si>
  <si>
    <t>Tiempo de ciclo real</t>
  </si>
  <si>
    <t>Tc</t>
  </si>
  <si>
    <t>Cambiar de acuerdo a lo que haga la fabrica. Aqui se asume igual a T_p (tiempo de producción por unidad calculado)</t>
  </si>
  <si>
    <t>Tasa de eficiencia (Rate Efficiency)</t>
  </si>
  <si>
    <t>RE</t>
  </si>
  <si>
    <t>Este siempre dará 1 porque se calculó con los datos que estaban todo, los valores reales los dará la fabrica</t>
  </si>
  <si>
    <t>Eficiencia en velocidad (Speed Efficiency)</t>
  </si>
  <si>
    <t>SE</t>
  </si>
  <si>
    <t>La velocidad de producción puede ser mayor a la demanda, pero eso no implica que así se deba calcular para OEE, por eso se toma el minimo entre eso y 1</t>
  </si>
  <si>
    <t>Eficiencia de desempeño (Performance Efficiency</t>
  </si>
  <si>
    <t>PE</t>
  </si>
  <si>
    <t>Cantidad de defectuosos</t>
  </si>
  <si>
    <t>Defect</t>
  </si>
  <si>
    <t>Cambiar de acuerdo a lo que haga la fabrica. Se deja como el 3% de lo planeado, o sea de 23.000 por hora</t>
  </si>
  <si>
    <t>Tasa de calidad (Quality Rate)</t>
  </si>
  <si>
    <t>QR</t>
  </si>
  <si>
    <t>3% hecho a mano de defectos</t>
  </si>
  <si>
    <t>Eficiencia general del equipamiento (Overall Equipment Effectiveness)</t>
  </si>
  <si>
    <t>OEE</t>
  </si>
  <si>
    <t>Cálculos indicadores para Agua embotellada garrafon 20L</t>
  </si>
  <si>
    <t>Demanda en litros</t>
  </si>
  <si>
    <t>Porcentaje demanda</t>
  </si>
  <si>
    <t>Producto por hora</t>
  </si>
  <si>
    <t>https://www.youtube.com/shorts/EmWGIXfuSXA</t>
  </si>
  <si>
    <t>https://www.larepublica.co/empresas/cristal-brisa-y-manantial-las-marcas-que-dominan-el-mercado-del-agua-en-botella-2390206</t>
  </si>
  <si>
    <t>Garrafones</t>
  </si>
  <si>
    <t>Availability %</t>
  </si>
  <si>
    <t>MTTR (m)</t>
  </si>
  <si>
    <t>Set-up Time (h)</t>
  </si>
  <si>
    <t>Steelhead Automatic Washer</t>
  </si>
  <si>
    <t>0.3</t>
  </si>
  <si>
    <t>81.9</t>
  </si>
  <si>
    <t>https://www.krones.com/media/downloads/pet-asept_d_es.pdf</t>
  </si>
  <si>
    <t>Llenadora Lineal (Ref. Video)</t>
  </si>
  <si>
    <t>Llenadora</t>
  </si>
  <si>
    <t>86.4</t>
  </si>
  <si>
    <t>https://www.krones.com/es/productos/maquinas/modulfill-vfj-agua.php</t>
  </si>
  <si>
    <t>Steelhead Inline Capper</t>
  </si>
  <si>
    <t>Taponadora</t>
  </si>
  <si>
    <t>https://www.krones.com/media/downloads/Verschliesser_es.pdf</t>
  </si>
  <si>
    <t>Etiqueradora</t>
  </si>
  <si>
    <t>0.32</t>
  </si>
  <si>
    <t>97.3</t>
  </si>
  <si>
    <t>https://www.krones.com/media/downloads/Sleevematic_es.pdf</t>
  </si>
  <si>
    <t>Aircontronic Compact</t>
  </si>
  <si>
    <t>Inspeccionadora 1</t>
  </si>
  <si>
    <t>0.36</t>
  </si>
  <si>
    <t>https://www.krones.com/media/downloads/aircontronic_compact_es.pdf</t>
  </si>
  <si>
    <t>Inspeccionadora 2</t>
  </si>
  <si>
    <t>Número de horas en donde se produce por turno</t>
  </si>
  <si>
    <t>Revisar si dejar 20000 por hora o 40000 por hora</t>
  </si>
  <si>
    <t>Este siempre dará 1 porque se calculó con los datoos que estaban todo, los valores reales los dará la fabrica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</si>
</sst>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00"/>
    <numFmt numFmtId="165" formatCode="0.000"/>
    <numFmt numFmtId="166" formatCode="d.m"/>
  </numFmts>
  <fonts count="12">
    <font>
      <sz val="10.0"/>
      <color rgb="FF000000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>
      <color rgb="FF1F1F1F"/>
      <name val="&quot;Google Sans Text&quot;"/>
    </font>
    <font>
      <u/>
      <sz val="11.0"/>
      <color rgb="FF0000FF"/>
      <name val="Aptos Narrow"/>
    </font>
    <font>
      <color theme="1"/>
      <name val="Arial"/>
      <scheme val="minor"/>
    </font>
    <font>
      <color theme="1"/>
      <name val="Arial"/>
    </font>
    <font>
      <b/>
      <sz val="11.0"/>
      <color theme="1"/>
      <name val="Arial"/>
    </font>
    <font>
      <u/>
      <sz val="11.0"/>
      <color rgb="FF0000FF"/>
      <name val="Arial"/>
    </font>
    <font>
      <b/>
      <color rgb="FF1F1F1F"/>
      <name val="&quot;Google Sans Text&quot;"/>
    </font>
    <font>
      <u/>
      <color rgb="FF0000FF"/>
    </font>
    <font>
      <u/>
      <sz val="12.0"/>
      <color rgb="FF0000FF"/>
      <name val="&quot;Aptos&quot;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vertical="bottom"/>
    </xf>
    <xf borderId="1" fillId="0" fontId="2" numFmtId="4" xfId="0" applyAlignment="1" applyBorder="1" applyFont="1" applyNumberFormat="1">
      <alignment horizontal="right" vertical="bottom"/>
    </xf>
    <xf borderId="1" fillId="0" fontId="2" numFmtId="4" xfId="0" applyAlignment="1" applyBorder="1" applyFont="1" applyNumberFormat="1">
      <alignment horizontal="right" readingOrder="0" vertical="bottom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vertical="bottom"/>
    </xf>
    <xf borderId="2" fillId="0" fontId="1" numFmtId="4" xfId="0" applyAlignment="1" applyBorder="1" applyFont="1" applyNumberFormat="1">
      <alignment horizontal="right" vertical="bottom"/>
    </xf>
    <xf borderId="2" fillId="0" fontId="1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3" fillId="0" fontId="2" numFmtId="4" xfId="0" applyAlignment="1" applyBorder="1" applyFont="1" applyNumberFormat="1">
      <alignment horizontal="right" readingOrder="0" vertical="bottom"/>
    </xf>
    <xf borderId="3" fillId="0" fontId="2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bottom"/>
    </xf>
    <xf borderId="3" fillId="0" fontId="2" numFmtId="0" xfId="0" applyAlignment="1" applyBorder="1" applyFont="1">
      <alignment horizontal="right" vertical="bottom"/>
    </xf>
    <xf borderId="0" fillId="0" fontId="2" numFmtId="0" xfId="0" applyAlignment="1" applyFont="1">
      <alignment shrinkToFit="0" vertical="bottom" wrapText="1"/>
    </xf>
    <xf borderId="0" fillId="0" fontId="5" numFmtId="0" xfId="0" applyAlignment="1" applyFont="1">
      <alignment readingOrder="0"/>
    </xf>
    <xf borderId="1" fillId="0" fontId="1" numFmtId="4" xfId="0" applyAlignment="1" applyBorder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1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3" fillId="0" fontId="1" numFmtId="164" xfId="0" applyAlignment="1" applyBorder="1" applyFont="1" applyNumberFormat="1">
      <alignment horizontal="right" vertical="bottom"/>
    </xf>
    <xf borderId="3" fillId="0" fontId="2" numFmtId="0" xfId="0" applyAlignment="1" applyBorder="1" applyFont="1">
      <alignment readingOrder="0"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2" fillId="0" fontId="1" numFmtId="3" xfId="0" applyAlignment="1" applyBorder="1" applyFont="1" applyNumberFormat="1">
      <alignment horizontal="right" vertical="bottom"/>
    </xf>
    <xf borderId="3" fillId="0" fontId="2" numFmtId="0" xfId="0" applyAlignment="1" applyBorder="1" applyFont="1">
      <alignment horizontal="right" readingOrder="0" vertical="bottom"/>
    </xf>
    <xf borderId="1" fillId="0" fontId="2" numFmtId="165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readingOrder="0" vertical="bottom"/>
    </xf>
    <xf borderId="2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horizontal="right" vertical="bottom"/>
    </xf>
    <xf borderId="1" fillId="0" fontId="2" numFmtId="1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readingOrder="0" shrinkToFit="0" vertical="bottom" wrapText="1"/>
    </xf>
    <xf borderId="1" fillId="0" fontId="1" numFmtId="164" xfId="0" applyAlignment="1" applyBorder="1" applyFont="1" applyNumberFormat="1">
      <alignment horizontal="right" vertical="bottom"/>
    </xf>
    <xf borderId="1" fillId="0" fontId="1" numFmtId="2" xfId="0" applyAlignment="1" applyBorder="1" applyFont="1" applyNumberFormat="1">
      <alignment horizontal="right" vertical="bottom"/>
    </xf>
    <xf borderId="1" fillId="0" fontId="2" numFmtId="2" xfId="0" applyAlignment="1" applyBorder="1" applyFont="1" applyNumberFormat="1">
      <alignment horizontal="right"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2" numFmtId="0" xfId="0" applyAlignment="1" applyFont="1">
      <alignment readingOrder="0" shrinkToFit="0" vertical="bottom" wrapText="1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shrinkToFit="0" vertical="bottom" wrapText="1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3" numFmtId="166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2" numFmtId="20" xfId="0" applyAlignment="1" applyFont="1" applyNumberFormat="1">
      <alignment readingOrder="0" vertical="bottom"/>
    </xf>
    <xf borderId="3" fillId="0" fontId="2" numFmtId="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rones.com/es/productos/maquinas/encajonadora-y-desencajonadora-con-columna-elevadora.php" TargetMode="External"/><Relationship Id="rId2" Type="http://schemas.openxmlformats.org/officeDocument/2006/relationships/hyperlink" Target="https://www.krones.com/es/productos/maquinas/lavadoras-con-entrada-y-salida-juntas-lavatec-e.php" TargetMode="External"/><Relationship Id="rId3" Type="http://schemas.openxmlformats.org/officeDocument/2006/relationships/hyperlink" Target="https://www.krones.com/es/productos/maquinas/inspeccionadora-de-botellas-vacioscon-tecnologia-de-deep-learning-linatronic-ai.php" TargetMode="External"/><Relationship Id="rId4" Type="http://schemas.openxmlformats.org/officeDocument/2006/relationships/hyperlink" Target="https://www.krones.com/es/productos/maquinas/modulfill-hes-cerveza.php" TargetMode="External"/><Relationship Id="rId5" Type="http://schemas.openxmlformats.org/officeDocument/2006/relationships/hyperlink" Target="https://www.videojet.es/es/homepage/products/continuous-inkjet-printers/videojet-1880-plus.html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shorts/EmWGIXfuSXA" TargetMode="External"/><Relationship Id="rId2" Type="http://schemas.openxmlformats.org/officeDocument/2006/relationships/hyperlink" Target="https://www.larepublica.co/empresas/cristal-brisa-y-manantial-las-marcas-que-dominan-el-mercado-del-agua-en-botella-2390206" TargetMode="External"/><Relationship Id="rId3" Type="http://schemas.openxmlformats.org/officeDocument/2006/relationships/hyperlink" Target="https://www.krones.com/media/downloads/pet-asept_d_es.pdf" TargetMode="External"/><Relationship Id="rId4" Type="http://schemas.openxmlformats.org/officeDocument/2006/relationships/hyperlink" Target="https://www.krones.com/es/productos/maquinas/modulfill-vfj-agua.php" TargetMode="External"/><Relationship Id="rId5" Type="http://schemas.openxmlformats.org/officeDocument/2006/relationships/hyperlink" Target="https://www.krones.com/media/downloads/Verschliesser_es.pdf" TargetMode="External"/><Relationship Id="rId6" Type="http://schemas.openxmlformats.org/officeDocument/2006/relationships/hyperlink" Target="https://www.krones.com/media/downloads/Sleevematic_es.pdf" TargetMode="External"/><Relationship Id="rId7" Type="http://schemas.openxmlformats.org/officeDocument/2006/relationships/hyperlink" Target="https://www.krones.com/media/downloads/aircontronic_compact_es.pdf" TargetMode="External"/><Relationship Id="rId8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9.38"/>
    <col customWidth="1" min="3" max="3" width="10.38"/>
    <col customWidth="1" min="4" max="4" width="11.75"/>
    <col customWidth="1" min="6" max="6" width="61.63"/>
    <col customWidth="1" min="7" max="7" width="23.13"/>
    <col customWidth="1" min="8" max="8" width="38.13"/>
    <col customWidth="1" min="9" max="9" width="34.13"/>
    <col customWidth="1" min="11" max="11" width="20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L1" s="2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C2" s="4"/>
      <c r="D2" s="4"/>
      <c r="E2" s="4"/>
      <c r="F2" s="4"/>
      <c r="G2" s="4"/>
      <c r="H2" s="4"/>
      <c r="I2" s="1"/>
      <c r="J2" s="1"/>
      <c r="K2" s="5" t="s">
        <v>2</v>
      </c>
      <c r="L2" s="5" t="s">
        <v>3</v>
      </c>
      <c r="M2" s="5" t="s">
        <v>4</v>
      </c>
      <c r="N2" s="5" t="s">
        <v>5</v>
      </c>
      <c r="O2" s="5" t="s">
        <v>6</v>
      </c>
      <c r="P2" s="5" t="s">
        <v>7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7" t="s">
        <v>13</v>
      </c>
      <c r="H3" s="4"/>
      <c r="I3" s="1"/>
      <c r="J3" s="1"/>
      <c r="K3" s="5" t="s">
        <v>14</v>
      </c>
      <c r="L3" s="8" t="s">
        <v>15</v>
      </c>
      <c r="M3" s="5" t="s">
        <v>16</v>
      </c>
      <c r="N3" s="5">
        <v>24444.0</v>
      </c>
      <c r="O3" s="5">
        <v>756.0</v>
      </c>
      <c r="P3" s="5" t="s">
        <v>17</v>
      </c>
      <c r="Q3" s="9" t="s">
        <v>18</v>
      </c>
      <c r="R3" s="1"/>
      <c r="S3" s="1"/>
      <c r="T3" s="1"/>
      <c r="U3" s="1"/>
      <c r="V3" s="1"/>
      <c r="W3" s="1"/>
      <c r="X3" s="1"/>
      <c r="Y3" s="1"/>
      <c r="Z3" s="1"/>
    </row>
    <row r="4" ht="31.5" customHeight="1">
      <c r="A4" s="1"/>
      <c r="B4" s="6" t="s">
        <v>19</v>
      </c>
      <c r="C4" s="6" t="s">
        <v>20</v>
      </c>
      <c r="D4" s="10">
        <v>3600.0</v>
      </c>
      <c r="E4" s="6" t="s">
        <v>21</v>
      </c>
      <c r="F4" s="7" t="s">
        <v>22</v>
      </c>
      <c r="G4" s="7" t="s">
        <v>23</v>
      </c>
      <c r="H4" s="4"/>
      <c r="I4" s="1"/>
      <c r="J4" s="1"/>
      <c r="K4" s="5" t="s">
        <v>24</v>
      </c>
      <c r="L4" s="5" t="s">
        <v>25</v>
      </c>
      <c r="M4" s="5" t="s">
        <v>26</v>
      </c>
      <c r="N4" s="5">
        <v>24444.0</v>
      </c>
      <c r="O4" s="5">
        <v>756.0</v>
      </c>
      <c r="P4" s="5" t="s">
        <v>27</v>
      </c>
      <c r="Q4" s="9" t="s">
        <v>28</v>
      </c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7" t="s">
        <v>29</v>
      </c>
      <c r="C5" s="6" t="s">
        <v>30</v>
      </c>
      <c r="D5" s="11">
        <v>16000.0</v>
      </c>
      <c r="E5" s="6" t="s">
        <v>31</v>
      </c>
      <c r="F5" s="7" t="s">
        <v>22</v>
      </c>
      <c r="G5" s="7" t="s">
        <v>23</v>
      </c>
      <c r="H5" s="4"/>
      <c r="I5" s="1"/>
      <c r="J5" s="1"/>
      <c r="K5" s="5" t="s">
        <v>32</v>
      </c>
      <c r="L5" s="5" t="s">
        <v>33</v>
      </c>
      <c r="M5" s="5" t="s">
        <v>26</v>
      </c>
      <c r="N5" s="5">
        <v>48.0</v>
      </c>
      <c r="O5" s="5">
        <v>300.0</v>
      </c>
      <c r="P5" s="5" t="s">
        <v>34</v>
      </c>
      <c r="Q5" s="9" t="s">
        <v>35</v>
      </c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"/>
      <c r="B6" s="12" t="s">
        <v>36</v>
      </c>
      <c r="C6" s="13" t="s">
        <v>37</v>
      </c>
      <c r="D6" s="14">
        <f>D4/D5</f>
        <v>0.225</v>
      </c>
      <c r="E6" s="13" t="s">
        <v>38</v>
      </c>
      <c r="F6" s="12" t="s">
        <v>22</v>
      </c>
      <c r="G6" s="12" t="s">
        <v>39</v>
      </c>
      <c r="H6" s="15"/>
      <c r="I6" s="1"/>
      <c r="J6" s="1"/>
      <c r="K6" s="5" t="s">
        <v>40</v>
      </c>
      <c r="L6" s="5" t="s">
        <v>41</v>
      </c>
      <c r="M6" s="5" t="s">
        <v>26</v>
      </c>
      <c r="N6" s="5">
        <v>24444.0</v>
      </c>
      <c r="O6" s="5">
        <v>756.0</v>
      </c>
      <c r="P6" s="5" t="s">
        <v>42</v>
      </c>
      <c r="Q6" s="9" t="s">
        <v>43</v>
      </c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6" t="s">
        <v>44</v>
      </c>
      <c r="C7" s="16" t="s">
        <v>45</v>
      </c>
      <c r="D7" s="17">
        <v>0.15</v>
      </c>
      <c r="E7" s="16" t="s">
        <v>21</v>
      </c>
      <c r="F7" s="18" t="s">
        <v>46</v>
      </c>
      <c r="G7" s="19"/>
      <c r="H7" s="20">
        <f>(391-255)/1440</f>
        <v>0.09444444444</v>
      </c>
      <c r="I7" s="21" t="s">
        <v>47</v>
      </c>
      <c r="J7" s="1"/>
      <c r="K7" s="22" t="s">
        <v>48</v>
      </c>
      <c r="L7" s="5" t="s">
        <v>49</v>
      </c>
      <c r="M7" s="5" t="s">
        <v>26</v>
      </c>
      <c r="N7" s="5">
        <v>36000.0</v>
      </c>
      <c r="O7" s="5">
        <v>600.0</v>
      </c>
      <c r="P7" s="5" t="s">
        <v>50</v>
      </c>
      <c r="Q7" s="9" t="s">
        <v>51</v>
      </c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 t="s">
        <v>52</v>
      </c>
      <c r="C8" s="6" t="s">
        <v>53</v>
      </c>
      <c r="D8" s="11">
        <v>0.05</v>
      </c>
      <c r="E8" s="6" t="s">
        <v>21</v>
      </c>
      <c r="F8" s="7" t="s">
        <v>54</v>
      </c>
      <c r="G8" s="4"/>
      <c r="H8" s="4"/>
      <c r="I8" s="1"/>
      <c r="J8" s="1"/>
      <c r="K8" s="5"/>
      <c r="L8" s="5"/>
      <c r="M8" s="5"/>
      <c r="N8" s="5"/>
      <c r="O8" s="5"/>
      <c r="P8" s="5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6" t="s">
        <v>55</v>
      </c>
      <c r="C9" s="6" t="s">
        <v>56</v>
      </c>
      <c r="D9" s="10">
        <v>0.0</v>
      </c>
      <c r="E9" s="6" t="s">
        <v>21</v>
      </c>
      <c r="F9" s="7" t="s">
        <v>57</v>
      </c>
      <c r="G9" s="4"/>
      <c r="H9" s="4"/>
      <c r="I9" s="1"/>
      <c r="J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6" t="s">
        <v>58</v>
      </c>
      <c r="C10" s="6" t="s">
        <v>59</v>
      </c>
      <c r="D10" s="23">
        <f>D7+D8+D9</f>
        <v>0.2</v>
      </c>
      <c r="E10" s="6" t="s">
        <v>21</v>
      </c>
      <c r="F10" s="4"/>
      <c r="G10" s="4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6" t="s">
        <v>60</v>
      </c>
      <c r="C11" s="6" t="s">
        <v>61</v>
      </c>
      <c r="D11" s="11">
        <f>8*D5</f>
        <v>128000</v>
      </c>
      <c r="E11" s="6" t="s">
        <v>31</v>
      </c>
      <c r="F11" s="4"/>
      <c r="G11" s="4"/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6" t="s">
        <v>62</v>
      </c>
      <c r="C12" s="6" t="s">
        <v>63</v>
      </c>
      <c r="D12" s="10">
        <f>3600</f>
        <v>3600</v>
      </c>
      <c r="E12" s="6" t="s">
        <v>21</v>
      </c>
      <c r="F12" s="4"/>
      <c r="G12" s="4"/>
      <c r="H12" s="7" t="s">
        <v>64</v>
      </c>
      <c r="I12" s="24">
        <f>1440/140000*3600</f>
        <v>37.02857143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6" t="s">
        <v>65</v>
      </c>
      <c r="C13" s="6" t="s">
        <v>66</v>
      </c>
      <c r="D13" s="23">
        <f>(D12+D11*D10)/60</f>
        <v>486.6666667</v>
      </c>
      <c r="E13" s="6" t="s">
        <v>67</v>
      </c>
      <c r="F13" s="4"/>
      <c r="G13" s="6" t="s">
        <v>68</v>
      </c>
      <c r="H13" s="25">
        <f>20000/1440</f>
        <v>13.88888889</v>
      </c>
      <c r="I13" s="26">
        <f>D13*H13</f>
        <v>6759.259259</v>
      </c>
      <c r="J13" s="27" t="s">
        <v>69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6" t="s">
        <v>70</v>
      </c>
      <c r="C14" s="6" t="s">
        <v>71</v>
      </c>
      <c r="D14" s="10">
        <f>0.01*D11</f>
        <v>1280</v>
      </c>
      <c r="E14" s="6" t="s">
        <v>21</v>
      </c>
      <c r="F14" s="7" t="s">
        <v>72</v>
      </c>
      <c r="G14" s="4"/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3" t="s">
        <v>73</v>
      </c>
      <c r="C15" s="13" t="s">
        <v>74</v>
      </c>
      <c r="D15" s="14">
        <f>(D14+D13*60)/60</f>
        <v>508</v>
      </c>
      <c r="E15" s="13" t="s">
        <v>67</v>
      </c>
      <c r="F15" s="15"/>
      <c r="G15" s="15"/>
      <c r="H15" s="15"/>
      <c r="I15" s="1"/>
      <c r="J15" s="2" t="s">
        <v>75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6" t="s">
        <v>76</v>
      </c>
      <c r="C16" s="16" t="s">
        <v>77</v>
      </c>
      <c r="D16" s="28">
        <f>D13/D11</f>
        <v>0.003802083333</v>
      </c>
      <c r="E16" s="29" t="s">
        <v>67</v>
      </c>
      <c r="F16" s="1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3" t="s">
        <v>78</v>
      </c>
      <c r="C17" s="13" t="s">
        <v>79</v>
      </c>
      <c r="D17" s="14">
        <f>60/D16</f>
        <v>15780.82192</v>
      </c>
      <c r="E17" s="13" t="s">
        <v>80</v>
      </c>
      <c r="F17" s="30"/>
      <c r="G17" s="31"/>
      <c r="H17" s="1"/>
      <c r="I17" s="1"/>
      <c r="J17" s="2" t="s">
        <v>75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6" t="s">
        <v>81</v>
      </c>
      <c r="C18" s="16" t="s">
        <v>82</v>
      </c>
      <c r="D18" s="17">
        <v>1.0</v>
      </c>
      <c r="E18" s="16" t="s">
        <v>83</v>
      </c>
      <c r="F18" s="1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6" t="s">
        <v>84</v>
      </c>
      <c r="C19" s="6" t="s">
        <v>85</v>
      </c>
      <c r="D19" s="23">
        <f>7*3</f>
        <v>21</v>
      </c>
      <c r="E19" s="6" t="s">
        <v>86</v>
      </c>
      <c r="F19" s="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" t="s">
        <v>87</v>
      </c>
      <c r="C20" s="6" t="s">
        <v>88</v>
      </c>
      <c r="D20" s="11">
        <v>8.0</v>
      </c>
      <c r="E20" s="6" t="s">
        <v>89</v>
      </c>
      <c r="F20" s="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3" t="s">
        <v>90</v>
      </c>
      <c r="C21" s="13" t="s">
        <v>91</v>
      </c>
      <c r="D21" s="32">
        <f>D18*D19*D20*D17</f>
        <v>2651178.082</v>
      </c>
      <c r="E21" s="13" t="s">
        <v>92</v>
      </c>
      <c r="F21" s="30"/>
      <c r="G21" s="31"/>
      <c r="H21" s="1"/>
      <c r="I21" s="1"/>
      <c r="J21" s="2" t="s">
        <v>75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6" t="s">
        <v>93</v>
      </c>
      <c r="C22" s="16" t="s">
        <v>61</v>
      </c>
      <c r="D22" s="33">
        <v>2188000.0</v>
      </c>
      <c r="E22" s="16" t="s">
        <v>92</v>
      </c>
      <c r="F22" s="16" t="s">
        <v>94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0.75" customHeight="1">
      <c r="A23" s="1"/>
      <c r="B23" s="7" t="s">
        <v>95</v>
      </c>
      <c r="C23" s="6" t="s">
        <v>96</v>
      </c>
      <c r="D23" s="34">
        <f>D22/D21*100</f>
        <v>82.52934854</v>
      </c>
      <c r="E23" s="6" t="s">
        <v>97</v>
      </c>
      <c r="F23" s="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6" t="s">
        <v>98</v>
      </c>
      <c r="C24" s="6" t="s">
        <v>99</v>
      </c>
      <c r="D24" s="3">
        <v>0.15</v>
      </c>
      <c r="E24" s="6" t="s">
        <v>21</v>
      </c>
      <c r="F24" s="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6" t="s">
        <v>100</v>
      </c>
      <c r="C25" s="6" t="s">
        <v>101</v>
      </c>
      <c r="D25" s="3">
        <v>186.0</v>
      </c>
      <c r="E25" s="6" t="s">
        <v>21</v>
      </c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6" t="s">
        <v>102</v>
      </c>
      <c r="C26" s="6" t="s">
        <v>103</v>
      </c>
      <c r="D26" s="3">
        <v>0.15</v>
      </c>
      <c r="E26" s="6" t="s">
        <v>21</v>
      </c>
      <c r="F26" s="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6" t="s">
        <v>104</v>
      </c>
      <c r="C27" s="6" t="s">
        <v>105</v>
      </c>
      <c r="D27" s="3">
        <v>1.0</v>
      </c>
      <c r="E27" s="6" t="s">
        <v>21</v>
      </c>
      <c r="F27" s="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6" t="s">
        <v>106</v>
      </c>
      <c r="C28" s="6" t="s">
        <v>107</v>
      </c>
      <c r="D28" s="3">
        <v>0.15</v>
      </c>
      <c r="E28" s="6" t="s">
        <v>21</v>
      </c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6" t="s">
        <v>108</v>
      </c>
      <c r="C29" s="6" t="s">
        <v>109</v>
      </c>
      <c r="D29" s="3">
        <v>182.0</v>
      </c>
      <c r="E29" s="6" t="s">
        <v>21</v>
      </c>
      <c r="F29" s="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6" t="s">
        <v>110</v>
      </c>
      <c r="C30" s="6" t="s">
        <v>111</v>
      </c>
      <c r="D30" s="3">
        <v>0.15</v>
      </c>
      <c r="E30" s="6" t="s">
        <v>21</v>
      </c>
      <c r="F30" s="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6" t="s">
        <v>112</v>
      </c>
      <c r="C31" s="6" t="s">
        <v>113</v>
      </c>
      <c r="D31" s="3">
        <v>5.0</v>
      </c>
      <c r="E31" s="6" t="s">
        <v>21</v>
      </c>
      <c r="F31" s="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6" t="s">
        <v>114</v>
      </c>
      <c r="C32" s="6" t="s">
        <v>115</v>
      </c>
      <c r="D32" s="3">
        <v>3.6</v>
      </c>
      <c r="E32" s="6" t="s">
        <v>21</v>
      </c>
      <c r="F32" s="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6" t="s">
        <v>116</v>
      </c>
      <c r="C33" s="6" t="s">
        <v>117</v>
      </c>
      <c r="D33" s="3">
        <v>3.0</v>
      </c>
      <c r="E33" s="6" t="s">
        <v>21</v>
      </c>
      <c r="F33" s="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6" t="s">
        <v>118</v>
      </c>
      <c r="C34" s="6" t="s">
        <v>119</v>
      </c>
      <c r="D34" s="3">
        <v>0.04</v>
      </c>
      <c r="E34" s="6" t="s">
        <v>21</v>
      </c>
      <c r="F34" s="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6" t="s">
        <v>120</v>
      </c>
      <c r="C35" s="6" t="s">
        <v>121</v>
      </c>
      <c r="D35" s="3">
        <v>600.0</v>
      </c>
      <c r="E35" s="6" t="s">
        <v>21</v>
      </c>
      <c r="F35" s="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6" t="s">
        <v>122</v>
      </c>
      <c r="C36" s="6" t="s">
        <v>123</v>
      </c>
      <c r="D36" s="3">
        <v>0.04</v>
      </c>
      <c r="E36" s="6" t="s">
        <v>21</v>
      </c>
      <c r="F36" s="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6" t="s">
        <v>124</v>
      </c>
      <c r="C37" s="6" t="s">
        <v>125</v>
      </c>
      <c r="D37" s="3">
        <v>0.0</v>
      </c>
      <c r="E37" s="6" t="s">
        <v>21</v>
      </c>
      <c r="F37" s="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6" t="s">
        <v>126</v>
      </c>
      <c r="C38" s="6" t="s">
        <v>127</v>
      </c>
      <c r="D38" s="35">
        <v>240.0</v>
      </c>
      <c r="E38" s="6" t="s">
        <v>21</v>
      </c>
      <c r="F38" s="7" t="s">
        <v>128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6" t="s">
        <v>129</v>
      </c>
      <c r="C39" s="6" t="s">
        <v>130</v>
      </c>
      <c r="D39" s="36">
        <v>3600.0</v>
      </c>
      <c r="E39" s="6" t="s">
        <v>21</v>
      </c>
      <c r="F39" s="7" t="s">
        <v>131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3" t="s">
        <v>132</v>
      </c>
      <c r="C40" s="13" t="s">
        <v>133</v>
      </c>
      <c r="D40" s="37">
        <f>SUM(D24:D39)</f>
        <v>4821.28</v>
      </c>
      <c r="E40" s="13" t="s">
        <v>21</v>
      </c>
      <c r="F40" s="30"/>
      <c r="G40" s="31"/>
      <c r="H40" s="1"/>
      <c r="I40" s="1"/>
      <c r="J40" s="2" t="s">
        <v>75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6" t="s">
        <v>134</v>
      </c>
      <c r="C41" s="16" t="s">
        <v>135</v>
      </c>
      <c r="D41" s="38">
        <f>D42*8</f>
        <v>28800</v>
      </c>
      <c r="E41" s="16" t="s">
        <v>21</v>
      </c>
      <c r="F41" s="16" t="s">
        <v>136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6" t="s">
        <v>137</v>
      </c>
      <c r="C42" s="6" t="s">
        <v>138</v>
      </c>
      <c r="D42" s="35">
        <v>3600.0</v>
      </c>
      <c r="E42" s="6" t="s">
        <v>21</v>
      </c>
      <c r="F42" s="6" t="s">
        <v>139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6" t="s">
        <v>140</v>
      </c>
      <c r="C43" s="6" t="s">
        <v>141</v>
      </c>
      <c r="D43" s="25">
        <f>D41-D42</f>
        <v>25200</v>
      </c>
      <c r="E43" s="6" t="s">
        <v>21</v>
      </c>
      <c r="F43" s="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6" t="s">
        <v>142</v>
      </c>
      <c r="C44" s="6" t="s">
        <v>143</v>
      </c>
      <c r="D44" s="25">
        <f>(1-D49)*D43</f>
        <v>2016</v>
      </c>
      <c r="E44" s="6" t="s">
        <v>21</v>
      </c>
      <c r="F44" s="6" t="s">
        <v>144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6" t="s">
        <v>145</v>
      </c>
      <c r="C45" s="6" t="s">
        <v>146</v>
      </c>
      <c r="D45" s="25">
        <f>D43-D44</f>
        <v>23184</v>
      </c>
      <c r="E45" s="6" t="s">
        <v>21</v>
      </c>
      <c r="F45" s="6" t="s">
        <v>144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6" t="s">
        <v>147</v>
      </c>
      <c r="C46" s="6" t="s">
        <v>148</v>
      </c>
      <c r="D46" s="25">
        <f>D45/D43*100</f>
        <v>92</v>
      </c>
      <c r="E46" s="6" t="s">
        <v>97</v>
      </c>
      <c r="F46" s="6" t="s">
        <v>144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6" t="s">
        <v>149</v>
      </c>
      <c r="C47" s="6" t="s">
        <v>150</v>
      </c>
      <c r="D47" s="25">
        <f>D43*0.92</f>
        <v>23184</v>
      </c>
      <c r="E47" s="6" t="s">
        <v>21</v>
      </c>
      <c r="F47" s="6" t="s">
        <v>144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6" t="s">
        <v>151</v>
      </c>
      <c r="C48" s="6" t="s">
        <v>152</v>
      </c>
      <c r="D48" s="25">
        <f>D43*0.08</f>
        <v>2016</v>
      </c>
      <c r="E48" s="6" t="s">
        <v>21</v>
      </c>
      <c r="F48" s="6" t="s">
        <v>144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6" t="s">
        <v>153</v>
      </c>
      <c r="C49" s="6" t="s">
        <v>148</v>
      </c>
      <c r="D49" s="25">
        <f>D47/(D47+D48)</f>
        <v>0.92</v>
      </c>
      <c r="E49" s="6" t="s">
        <v>97</v>
      </c>
      <c r="F49" s="6" t="s">
        <v>144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6" t="s">
        <v>154</v>
      </c>
      <c r="C50" s="6" t="s">
        <v>155</v>
      </c>
      <c r="D50" s="39">
        <f>D17*7*0.92</f>
        <v>101628.4932</v>
      </c>
      <c r="E50" s="6" t="s">
        <v>156</v>
      </c>
      <c r="F50" s="40" t="s">
        <v>157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6" t="s">
        <v>158</v>
      </c>
      <c r="C51" s="6" t="s">
        <v>159</v>
      </c>
      <c r="D51" s="11">
        <f>0.21</f>
        <v>0.21</v>
      </c>
      <c r="E51" s="6" t="s">
        <v>38</v>
      </c>
      <c r="F51" s="7" t="s">
        <v>160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6" t="s">
        <v>161</v>
      </c>
      <c r="C52" s="6" t="s">
        <v>162</v>
      </c>
      <c r="D52" s="41">
        <f>D51*D50/D45</f>
        <v>0.9205479452</v>
      </c>
      <c r="E52" s="6" t="s">
        <v>23</v>
      </c>
      <c r="F52" s="40" t="s">
        <v>163</v>
      </c>
      <c r="G52" s="1">
        <f>D51*D50/D45</f>
        <v>0.9205479452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6" t="s">
        <v>164</v>
      </c>
      <c r="C53" s="6" t="s">
        <v>165</v>
      </c>
      <c r="D53" s="42">
        <f>MIN(D6/D51,1)</f>
        <v>1</v>
      </c>
      <c r="E53" s="6" t="s">
        <v>23</v>
      </c>
      <c r="F53" s="40" t="s">
        <v>166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6" t="s">
        <v>167</v>
      </c>
      <c r="C54" s="6" t="s">
        <v>168</v>
      </c>
      <c r="D54" s="43">
        <f>D52*D53</f>
        <v>0.9205479452</v>
      </c>
      <c r="E54" s="6" t="s">
        <v>23</v>
      </c>
      <c r="F54" s="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6" t="s">
        <v>169</v>
      </c>
      <c r="C55" s="6" t="s">
        <v>170</v>
      </c>
      <c r="D55" s="25">
        <f>20000*7*0.03</f>
        <v>4200</v>
      </c>
      <c r="E55" s="4"/>
      <c r="F55" s="7" t="s">
        <v>171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6" t="s">
        <v>172</v>
      </c>
      <c r="C56" s="6" t="s">
        <v>173</v>
      </c>
      <c r="D56" s="42">
        <f>(D50-D55)/D50</f>
        <v>0.9586730072</v>
      </c>
      <c r="E56" s="4"/>
      <c r="F56" s="3" t="s">
        <v>174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6" t="s">
        <v>175</v>
      </c>
      <c r="C57" s="6" t="s">
        <v>176</v>
      </c>
      <c r="D57" s="42">
        <f>D49*D54*D56</f>
        <v>0.8119041096</v>
      </c>
      <c r="E57" s="4"/>
      <c r="F57" s="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44"/>
      <c r="C69" s="44"/>
      <c r="D69" s="44"/>
      <c r="E69" s="44"/>
      <c r="F69" s="4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44"/>
      <c r="C70" s="44"/>
      <c r="D70" s="45"/>
      <c r="E70" s="44"/>
      <c r="F70" s="4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44"/>
      <c r="C71" s="44"/>
      <c r="D71" s="45"/>
      <c r="E71" s="44"/>
      <c r="F71" s="4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44"/>
      <c r="C72" s="44"/>
      <c r="D72" s="45"/>
      <c r="E72" s="44"/>
      <c r="F72" s="4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44"/>
      <c r="C73" s="44"/>
      <c r="D73" s="45"/>
      <c r="E73" s="44"/>
      <c r="F73" s="4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44"/>
      <c r="C74" s="44"/>
      <c r="D74" s="45"/>
      <c r="E74" s="44"/>
      <c r="F74" s="4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44"/>
      <c r="C75" s="44"/>
      <c r="D75" s="45"/>
      <c r="E75" s="44"/>
      <c r="F75" s="4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44"/>
      <c r="C76" s="44"/>
      <c r="D76" s="45"/>
      <c r="E76" s="44"/>
      <c r="F76" s="4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44"/>
      <c r="C77" s="44"/>
      <c r="D77" s="45"/>
      <c r="E77" s="44"/>
      <c r="F77" s="4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44"/>
      <c r="C78" s="44"/>
      <c r="D78" s="45"/>
      <c r="E78" s="44"/>
      <c r="F78" s="4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44"/>
      <c r="C79" s="44"/>
      <c r="D79" s="45"/>
      <c r="E79" s="44"/>
      <c r="F79" s="4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44"/>
      <c r="C80" s="44"/>
      <c r="D80" s="45"/>
      <c r="E80" s="44"/>
      <c r="F80" s="4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44"/>
      <c r="C81" s="44"/>
      <c r="D81" s="45"/>
      <c r="E81" s="44"/>
      <c r="F81" s="4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44"/>
      <c r="C82" s="44"/>
      <c r="D82" s="45"/>
      <c r="E82" s="44"/>
      <c r="F82" s="4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44"/>
      <c r="C83" s="44"/>
      <c r="D83" s="45"/>
      <c r="E83" s="44"/>
      <c r="F83" s="4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44"/>
      <c r="C84" s="44"/>
      <c r="D84" s="45"/>
      <c r="E84" s="44"/>
      <c r="F84" s="4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G$30"/>
  <hyperlinks>
    <hyperlink r:id="rId1" ref="Q3"/>
    <hyperlink r:id="rId2" ref="Q4"/>
    <hyperlink r:id="rId3" ref="Q5"/>
    <hyperlink r:id="rId4" ref="Q6"/>
    <hyperlink r:id="rId5" ref="Q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9.38"/>
    <col customWidth="1" min="3" max="3" width="10.38"/>
    <col customWidth="1" min="4" max="4" width="11.75"/>
    <col customWidth="1" min="6" max="6" width="41.38"/>
    <col customWidth="1" min="8" max="8" width="49.75"/>
    <col customWidth="1" min="15" max="15" width="28.0"/>
    <col customWidth="1" min="16" max="16" width="16.88"/>
    <col customWidth="1" min="17" max="17" width="18.88"/>
    <col customWidth="1" min="18" max="18" width="16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177</v>
      </c>
      <c r="C2" s="4"/>
      <c r="D2" s="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46" t="s">
        <v>178</v>
      </c>
      <c r="Q2" s="2" t="s">
        <v>179</v>
      </c>
      <c r="R2" s="2" t="s">
        <v>180</v>
      </c>
      <c r="S2" s="1"/>
      <c r="T2" s="1"/>
      <c r="U2" s="1"/>
      <c r="V2" s="1"/>
      <c r="W2" s="1"/>
      <c r="X2" s="1"/>
      <c r="Y2" s="1"/>
      <c r="Z2" s="1"/>
    </row>
    <row r="3">
      <c r="A3" s="1"/>
      <c r="B3" s="47" t="s">
        <v>8</v>
      </c>
      <c r="C3" s="47" t="s">
        <v>9</v>
      </c>
      <c r="D3" s="47" t="s">
        <v>10</v>
      </c>
      <c r="E3" s="47" t="s">
        <v>11</v>
      </c>
      <c r="F3" s="47" t="s">
        <v>12</v>
      </c>
      <c r="G3" s="48" t="s">
        <v>13</v>
      </c>
      <c r="H3" s="4"/>
      <c r="I3" s="1"/>
      <c r="J3" s="1"/>
      <c r="K3" s="1"/>
      <c r="L3" s="1"/>
      <c r="M3" s="1"/>
      <c r="N3" s="1"/>
      <c r="O3" s="1"/>
      <c r="P3" s="2">
        <f>1114*1.3*1000000</f>
        <v>1448200000</v>
      </c>
      <c r="Q3" s="2">
        <v>0.08</v>
      </c>
      <c r="R3" s="1">
        <f>P3*Q3/20/7200</f>
        <v>804.5555556</v>
      </c>
      <c r="S3" s="1"/>
      <c r="T3" s="1"/>
      <c r="U3" s="1"/>
      <c r="V3" s="1"/>
      <c r="W3" s="1"/>
      <c r="X3" s="1"/>
      <c r="Y3" s="1"/>
      <c r="Z3" s="1"/>
    </row>
    <row r="4" ht="31.5" customHeight="1">
      <c r="A4" s="1"/>
      <c r="B4" s="6" t="s">
        <v>19</v>
      </c>
      <c r="C4" s="6" t="s">
        <v>20</v>
      </c>
      <c r="D4" s="10">
        <v>3600.0</v>
      </c>
      <c r="E4" s="6" t="s">
        <v>21</v>
      </c>
      <c r="F4" s="7" t="s">
        <v>22</v>
      </c>
      <c r="G4" s="7" t="s">
        <v>23</v>
      </c>
      <c r="H4" s="4"/>
      <c r="I4" s="49" t="s">
        <v>181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7" t="s">
        <v>29</v>
      </c>
      <c r="C5" s="6" t="s">
        <v>30</v>
      </c>
      <c r="D5" s="11">
        <v>900.0</v>
      </c>
      <c r="E5" s="6" t="s">
        <v>31</v>
      </c>
      <c r="F5" s="7" t="s">
        <v>22</v>
      </c>
      <c r="G5" s="7" t="s">
        <v>23</v>
      </c>
      <c r="H5" s="4"/>
      <c r="I5" s="9" t="s">
        <v>182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"/>
      <c r="B6" s="12" t="s">
        <v>36</v>
      </c>
      <c r="C6" s="13" t="s">
        <v>37</v>
      </c>
      <c r="D6" s="14">
        <f>D4/D5</f>
        <v>4</v>
      </c>
      <c r="E6" s="13" t="s">
        <v>38</v>
      </c>
      <c r="F6" s="12" t="s">
        <v>22</v>
      </c>
      <c r="G6" s="12" t="s">
        <v>39</v>
      </c>
      <c r="H6" s="1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6" t="s">
        <v>44</v>
      </c>
      <c r="C7" s="16" t="s">
        <v>45</v>
      </c>
      <c r="D7" s="17">
        <v>3.333</v>
      </c>
      <c r="E7" s="16" t="s">
        <v>21</v>
      </c>
      <c r="F7" s="18" t="s">
        <v>46</v>
      </c>
      <c r="G7" s="19"/>
      <c r="H7" s="20">
        <f>(175-150)/640</f>
        <v>0.0390625</v>
      </c>
      <c r="I7" s="21" t="s">
        <v>47</v>
      </c>
      <c r="M7" s="1"/>
      <c r="N7" s="1"/>
      <c r="O7" s="1"/>
      <c r="P7" s="2" t="s">
        <v>183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 t="s">
        <v>52</v>
      </c>
      <c r="C8" s="6" t="s">
        <v>53</v>
      </c>
      <c r="D8" s="11">
        <v>0.333</v>
      </c>
      <c r="E8" s="6" t="s">
        <v>21</v>
      </c>
      <c r="F8" s="7" t="s">
        <v>54</v>
      </c>
      <c r="G8" s="4"/>
      <c r="H8" s="4"/>
      <c r="I8" s="1"/>
      <c r="J8" s="1"/>
      <c r="K8" s="1"/>
      <c r="L8" s="1"/>
      <c r="M8" s="1"/>
      <c r="N8" s="1"/>
      <c r="O8" s="5" t="s">
        <v>2</v>
      </c>
      <c r="P8" s="5" t="s">
        <v>3</v>
      </c>
      <c r="Q8" s="5" t="s">
        <v>4</v>
      </c>
      <c r="R8" s="5" t="s">
        <v>184</v>
      </c>
      <c r="S8" s="5" t="s">
        <v>185</v>
      </c>
      <c r="T8" s="5" t="s">
        <v>186</v>
      </c>
      <c r="U8" s="1"/>
      <c r="V8" s="1"/>
      <c r="W8" s="1"/>
      <c r="X8" s="1"/>
      <c r="Y8" s="1"/>
      <c r="Z8" s="1"/>
    </row>
    <row r="9">
      <c r="A9" s="1"/>
      <c r="B9" s="6" t="s">
        <v>55</v>
      </c>
      <c r="C9" s="6" t="s">
        <v>56</v>
      </c>
      <c r="D9" s="10">
        <v>0.0</v>
      </c>
      <c r="E9" s="6" t="s">
        <v>21</v>
      </c>
      <c r="F9" s="7" t="s">
        <v>57</v>
      </c>
      <c r="G9" s="4"/>
      <c r="H9" s="4"/>
      <c r="I9" s="1"/>
      <c r="J9" s="1"/>
      <c r="K9" s="1"/>
      <c r="L9" s="1"/>
      <c r="M9" s="1"/>
      <c r="N9" s="1"/>
      <c r="O9" s="50" t="s">
        <v>187</v>
      </c>
      <c r="P9" s="5" t="s">
        <v>25</v>
      </c>
      <c r="Q9" s="5" t="s">
        <v>188</v>
      </c>
      <c r="R9" s="5" t="s">
        <v>189</v>
      </c>
      <c r="S9" s="51">
        <v>0.07222222222222222</v>
      </c>
      <c r="T9" s="51">
        <v>0.06944444444444445</v>
      </c>
      <c r="U9" s="52" t="s">
        <v>190</v>
      </c>
      <c r="V9" s="1"/>
      <c r="W9" s="1"/>
      <c r="X9" s="1"/>
      <c r="Y9" s="1"/>
      <c r="Z9" s="1"/>
    </row>
    <row r="10">
      <c r="A10" s="1"/>
      <c r="B10" s="6" t="s">
        <v>58</v>
      </c>
      <c r="C10" s="6" t="s">
        <v>59</v>
      </c>
      <c r="D10" s="23">
        <f>D7+D8+D9</f>
        <v>3.666</v>
      </c>
      <c r="E10" s="6" t="s">
        <v>21</v>
      </c>
      <c r="F10" s="4"/>
      <c r="G10" s="4"/>
      <c r="H10" s="4"/>
      <c r="I10" s="1"/>
      <c r="J10" s="1"/>
      <c r="K10" s="1"/>
      <c r="L10" s="1"/>
      <c r="M10" s="1"/>
      <c r="N10" s="1"/>
      <c r="O10" s="50" t="s">
        <v>191</v>
      </c>
      <c r="P10" s="5" t="s">
        <v>192</v>
      </c>
      <c r="Q10" s="53">
        <v>46124.0</v>
      </c>
      <c r="R10" s="5" t="s">
        <v>193</v>
      </c>
      <c r="S10" s="51">
        <v>0.04722222222222222</v>
      </c>
      <c r="T10" s="51">
        <v>0.020833333333333332</v>
      </c>
      <c r="U10" s="54" t="s">
        <v>194</v>
      </c>
      <c r="V10" s="1"/>
      <c r="W10" s="1"/>
      <c r="X10" s="1"/>
      <c r="Y10" s="1"/>
      <c r="Z10" s="1"/>
    </row>
    <row r="11">
      <c r="A11" s="1"/>
      <c r="B11" s="6" t="s">
        <v>60</v>
      </c>
      <c r="C11" s="6" t="s">
        <v>61</v>
      </c>
      <c r="D11" s="11">
        <f>8*D5</f>
        <v>7200</v>
      </c>
      <c r="E11" s="6" t="s">
        <v>31</v>
      </c>
      <c r="F11" s="4"/>
      <c r="G11" s="4"/>
      <c r="H11" s="4"/>
      <c r="I11" s="1"/>
      <c r="J11" s="1"/>
      <c r="K11" s="1"/>
      <c r="L11" s="1"/>
      <c r="M11" s="1"/>
      <c r="N11" s="1"/>
      <c r="O11" s="50" t="s">
        <v>195</v>
      </c>
      <c r="P11" s="5" t="s">
        <v>196</v>
      </c>
      <c r="Q11" s="5" t="s">
        <v>188</v>
      </c>
      <c r="R11" s="5" t="s">
        <v>193</v>
      </c>
      <c r="S11" s="51">
        <v>0.04722222222222222</v>
      </c>
      <c r="T11" s="51">
        <v>0.010416666666666666</v>
      </c>
      <c r="U11" s="9" t="s">
        <v>197</v>
      </c>
      <c r="V11" s="1"/>
      <c r="W11" s="1"/>
      <c r="X11" s="1"/>
      <c r="Y11" s="1"/>
      <c r="Z11" s="1"/>
    </row>
    <row r="12">
      <c r="A12" s="1"/>
      <c r="B12" s="6" t="s">
        <v>62</v>
      </c>
      <c r="C12" s="6" t="s">
        <v>63</v>
      </c>
      <c r="D12" s="10">
        <f>3600</f>
        <v>3600</v>
      </c>
      <c r="E12" s="6" t="s">
        <v>21</v>
      </c>
      <c r="F12" s="4"/>
      <c r="G12" s="4"/>
      <c r="H12" s="7"/>
      <c r="I12" s="24">
        <f>1440/140000*3600</f>
        <v>37.02857143</v>
      </c>
      <c r="J12" s="1"/>
      <c r="K12" s="1"/>
      <c r="L12" s="1"/>
      <c r="M12" s="1"/>
      <c r="N12" s="1"/>
      <c r="O12" s="1"/>
      <c r="P12" s="2" t="s">
        <v>198</v>
      </c>
      <c r="Q12" s="2" t="s">
        <v>199</v>
      </c>
      <c r="R12" s="2" t="s">
        <v>200</v>
      </c>
      <c r="S12" s="55">
        <v>0.027777777777777776</v>
      </c>
      <c r="T12" s="55">
        <v>0.013888888888888888</v>
      </c>
      <c r="U12" s="9" t="s">
        <v>201</v>
      </c>
      <c r="V12" s="1"/>
      <c r="W12" s="1"/>
      <c r="X12" s="1"/>
      <c r="Y12" s="1"/>
      <c r="Z12" s="1"/>
    </row>
    <row r="13">
      <c r="A13" s="1"/>
      <c r="B13" s="6" t="s">
        <v>65</v>
      </c>
      <c r="C13" s="6" t="s">
        <v>66</v>
      </c>
      <c r="D13" s="23">
        <f>(D12+D11*D10)/60</f>
        <v>499.92</v>
      </c>
      <c r="E13" s="6" t="s">
        <v>67</v>
      </c>
      <c r="F13" s="4"/>
      <c r="G13" s="6" t="s">
        <v>68</v>
      </c>
      <c r="H13" s="25">
        <f>15000/640</f>
        <v>23.4375</v>
      </c>
      <c r="I13" s="26">
        <f>D13*H13</f>
        <v>11716.875</v>
      </c>
      <c r="J13" s="27" t="s">
        <v>69</v>
      </c>
      <c r="K13" s="1"/>
      <c r="L13" s="1"/>
      <c r="M13" s="1"/>
      <c r="N13" s="1"/>
      <c r="O13" s="2" t="s">
        <v>202</v>
      </c>
      <c r="P13" s="2" t="s">
        <v>203</v>
      </c>
      <c r="Q13" s="2" t="s">
        <v>204</v>
      </c>
      <c r="R13" s="2" t="s">
        <v>193</v>
      </c>
      <c r="S13" s="55">
        <v>0.04722222222222222</v>
      </c>
      <c r="T13" s="55">
        <v>0.003472222222222222</v>
      </c>
      <c r="U13" s="9" t="s">
        <v>205</v>
      </c>
      <c r="V13" s="1"/>
      <c r="W13" s="1"/>
      <c r="X13" s="1"/>
      <c r="Y13" s="1"/>
      <c r="Z13" s="1"/>
    </row>
    <row r="14">
      <c r="A14" s="1"/>
      <c r="B14" s="6" t="s">
        <v>70</v>
      </c>
      <c r="C14" s="6" t="s">
        <v>71</v>
      </c>
      <c r="D14" s="10">
        <f>0.01*D11</f>
        <v>72</v>
      </c>
      <c r="E14" s="6" t="s">
        <v>21</v>
      </c>
      <c r="F14" s="7" t="s">
        <v>72</v>
      </c>
      <c r="G14" s="4"/>
      <c r="H14" s="4"/>
      <c r="I14" s="1"/>
      <c r="J14" s="1"/>
      <c r="K14" s="1"/>
      <c r="L14" s="1"/>
      <c r="M14" s="1"/>
      <c r="N14" s="1"/>
      <c r="P14" s="2" t="s">
        <v>206</v>
      </c>
      <c r="V14" s="1"/>
      <c r="W14" s="1"/>
      <c r="X14" s="1"/>
      <c r="Y14" s="1"/>
      <c r="Z14" s="1"/>
    </row>
    <row r="15">
      <c r="A15" s="1"/>
      <c r="B15" s="13" t="s">
        <v>73</v>
      </c>
      <c r="C15" s="13" t="s">
        <v>74</v>
      </c>
      <c r="D15" s="14">
        <f>(D14+D13*60)/60</f>
        <v>501.12</v>
      </c>
      <c r="E15" s="13" t="s">
        <v>67</v>
      </c>
      <c r="F15" s="15"/>
      <c r="G15" s="15"/>
      <c r="H15" s="15"/>
      <c r="I15" s="1"/>
      <c r="J15" s="2" t="s">
        <v>75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6" t="s">
        <v>76</v>
      </c>
      <c r="C16" s="16" t="s">
        <v>77</v>
      </c>
      <c r="D16" s="28">
        <f>D13/D11</f>
        <v>0.06943333333</v>
      </c>
      <c r="E16" s="16" t="s">
        <v>21</v>
      </c>
      <c r="F16" s="1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3" t="s">
        <v>78</v>
      </c>
      <c r="C17" s="13" t="s">
        <v>79</v>
      </c>
      <c r="D17" s="14">
        <f>60/D16</f>
        <v>864.1382621</v>
      </c>
      <c r="E17" s="13" t="s">
        <v>80</v>
      </c>
      <c r="F17" s="30"/>
      <c r="G17" s="31"/>
      <c r="H17" s="1"/>
      <c r="I17" s="1"/>
      <c r="J17" s="2" t="s">
        <v>75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6" t="s">
        <v>81</v>
      </c>
      <c r="C18" s="16" t="s">
        <v>82</v>
      </c>
      <c r="D18" s="56">
        <v>2.0</v>
      </c>
      <c r="E18" s="16" t="s">
        <v>83</v>
      </c>
      <c r="F18" s="1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6" t="s">
        <v>84</v>
      </c>
      <c r="C19" s="6" t="s">
        <v>85</v>
      </c>
      <c r="D19" s="23">
        <f>7*3</f>
        <v>21</v>
      </c>
      <c r="E19" s="6" t="s">
        <v>86</v>
      </c>
      <c r="F19" s="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6" t="s">
        <v>207</v>
      </c>
      <c r="C20" s="6" t="s">
        <v>88</v>
      </c>
      <c r="D20" s="11">
        <v>8.0</v>
      </c>
      <c r="E20" s="6" t="s">
        <v>89</v>
      </c>
      <c r="F20" s="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3" t="s">
        <v>90</v>
      </c>
      <c r="C21" s="13" t="s">
        <v>91</v>
      </c>
      <c r="D21" s="32">
        <f>D18*D19*D20*D17</f>
        <v>290350.4561</v>
      </c>
      <c r="E21" s="13" t="s">
        <v>92</v>
      </c>
      <c r="F21" s="30"/>
      <c r="G21" s="31"/>
      <c r="H21" s="1"/>
      <c r="I21" s="1"/>
      <c r="J21" s="2" t="s">
        <v>75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6" t="s">
        <v>93</v>
      </c>
      <c r="C22" s="16" t="s">
        <v>61</v>
      </c>
      <c r="D22" s="33">
        <f>D5*D19</f>
        <v>18900</v>
      </c>
      <c r="E22" s="16" t="s">
        <v>92</v>
      </c>
      <c r="F22" s="16" t="s">
        <v>94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0.75" customHeight="1">
      <c r="A23" s="1"/>
      <c r="B23" s="7" t="s">
        <v>95</v>
      </c>
      <c r="C23" s="6" t="s">
        <v>96</v>
      </c>
      <c r="D23" s="34">
        <f>D22/D21*100</f>
        <v>6.509375</v>
      </c>
      <c r="E23" s="6" t="s">
        <v>97</v>
      </c>
      <c r="F23" s="6" t="s">
        <v>208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6" t="s">
        <v>98</v>
      </c>
      <c r="C24" s="6" t="s">
        <v>99</v>
      </c>
      <c r="D24" s="3">
        <f>3600*2</f>
        <v>7200</v>
      </c>
      <c r="E24" s="6" t="s">
        <v>21</v>
      </c>
      <c r="F24" s="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6" t="s">
        <v>100</v>
      </c>
      <c r="C25" s="6" t="s">
        <v>101</v>
      </c>
      <c r="D25" s="4"/>
      <c r="E25" s="6" t="s">
        <v>21</v>
      </c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6" t="s">
        <v>102</v>
      </c>
      <c r="C26" s="6" t="s">
        <v>103</v>
      </c>
      <c r="D26" s="4"/>
      <c r="E26" s="6" t="s">
        <v>21</v>
      </c>
      <c r="F26" s="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6" t="s">
        <v>104</v>
      </c>
      <c r="C27" s="6" t="s">
        <v>105</v>
      </c>
      <c r="D27" s="4"/>
      <c r="E27" s="6" t="s">
        <v>21</v>
      </c>
      <c r="F27" s="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6" t="s">
        <v>106</v>
      </c>
      <c r="C28" s="6" t="s">
        <v>107</v>
      </c>
      <c r="D28" s="4"/>
      <c r="E28" s="6" t="s">
        <v>21</v>
      </c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6" t="s">
        <v>108</v>
      </c>
      <c r="C29" s="6" t="s">
        <v>109</v>
      </c>
      <c r="D29" s="4"/>
      <c r="E29" s="6" t="s">
        <v>21</v>
      </c>
      <c r="F29" s="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6" t="s">
        <v>110</v>
      </c>
      <c r="C30" s="6" t="s">
        <v>111</v>
      </c>
      <c r="D30" s="4"/>
      <c r="E30" s="6" t="s">
        <v>21</v>
      </c>
      <c r="F30" s="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6" t="s">
        <v>112</v>
      </c>
      <c r="C31" s="6" t="s">
        <v>113</v>
      </c>
      <c r="D31" s="4"/>
      <c r="E31" s="6" t="s">
        <v>21</v>
      </c>
      <c r="F31" s="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6" t="s">
        <v>114</v>
      </c>
      <c r="C32" s="6" t="s">
        <v>115</v>
      </c>
      <c r="D32" s="4"/>
      <c r="E32" s="6" t="s">
        <v>21</v>
      </c>
      <c r="F32" s="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6" t="s">
        <v>116</v>
      </c>
      <c r="C33" s="6" t="s">
        <v>117</v>
      </c>
      <c r="D33" s="4"/>
      <c r="E33" s="6" t="s">
        <v>21</v>
      </c>
      <c r="F33" s="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6" t="s">
        <v>118</v>
      </c>
      <c r="C34" s="6" t="s">
        <v>119</v>
      </c>
      <c r="D34" s="4"/>
      <c r="E34" s="6" t="s">
        <v>21</v>
      </c>
      <c r="F34" s="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6" t="s">
        <v>120</v>
      </c>
      <c r="C35" s="6" t="s">
        <v>121</v>
      </c>
      <c r="D35" s="4"/>
      <c r="E35" s="6" t="s">
        <v>21</v>
      </c>
      <c r="F35" s="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6" t="s">
        <v>122</v>
      </c>
      <c r="C36" s="6" t="s">
        <v>123</v>
      </c>
      <c r="D36" s="4"/>
      <c r="E36" s="6" t="s">
        <v>21</v>
      </c>
      <c r="F36" s="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6" t="s">
        <v>124</v>
      </c>
      <c r="C37" s="6" t="s">
        <v>125</v>
      </c>
      <c r="D37" s="4"/>
      <c r="E37" s="6" t="s">
        <v>21</v>
      </c>
      <c r="F37" s="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6" t="s">
        <v>126</v>
      </c>
      <c r="C38" s="6" t="s">
        <v>127</v>
      </c>
      <c r="D38" s="35">
        <v>240.0</v>
      </c>
      <c r="E38" s="6" t="s">
        <v>21</v>
      </c>
      <c r="F38" s="7" t="s">
        <v>128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6" t="s">
        <v>129</v>
      </c>
      <c r="C39" s="6" t="s">
        <v>130</v>
      </c>
      <c r="D39" s="36">
        <v>3600.0</v>
      </c>
      <c r="E39" s="6" t="s">
        <v>21</v>
      </c>
      <c r="F39" s="7" t="s">
        <v>131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3" t="s">
        <v>132</v>
      </c>
      <c r="C40" s="13" t="s">
        <v>133</v>
      </c>
      <c r="D40" s="37">
        <f>SUM(D24:D39)</f>
        <v>11040</v>
      </c>
      <c r="E40" s="13" t="s">
        <v>21</v>
      </c>
      <c r="F40" s="30"/>
      <c r="G40" s="31"/>
      <c r="H40" s="1"/>
      <c r="I40" s="1"/>
      <c r="J40" s="2" t="s">
        <v>75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6" t="s">
        <v>134</v>
      </c>
      <c r="C41" s="16" t="s">
        <v>135</v>
      </c>
      <c r="D41" s="38">
        <f>D42*8</f>
        <v>28800</v>
      </c>
      <c r="E41" s="16" t="s">
        <v>21</v>
      </c>
      <c r="F41" s="16" t="s">
        <v>136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6" t="s">
        <v>137</v>
      </c>
      <c r="C42" s="6" t="s">
        <v>138</v>
      </c>
      <c r="D42" s="35">
        <v>3600.0</v>
      </c>
      <c r="E42" s="6" t="s">
        <v>21</v>
      </c>
      <c r="F42" s="6" t="s">
        <v>139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6" t="s">
        <v>140</v>
      </c>
      <c r="C43" s="6" t="s">
        <v>141</v>
      </c>
      <c r="D43" s="25">
        <f>D41-D42</f>
        <v>25200</v>
      </c>
      <c r="E43" s="6" t="s">
        <v>21</v>
      </c>
      <c r="F43" s="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6" t="s">
        <v>142</v>
      </c>
      <c r="C44" s="6" t="s">
        <v>143</v>
      </c>
      <c r="D44" s="25">
        <f>(1-D49)*D43</f>
        <v>1920</v>
      </c>
      <c r="E44" s="6" t="s">
        <v>21</v>
      </c>
      <c r="F44" s="6" t="s">
        <v>144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6" t="s">
        <v>145</v>
      </c>
      <c r="C45" s="6" t="s">
        <v>146</v>
      </c>
      <c r="D45" s="25">
        <f>D43-D44</f>
        <v>23280</v>
      </c>
      <c r="E45" s="6" t="s">
        <v>21</v>
      </c>
      <c r="F45" s="6" t="s">
        <v>144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6" t="s">
        <v>147</v>
      </c>
      <c r="C46" s="6" t="s">
        <v>148</v>
      </c>
      <c r="D46" s="25">
        <f>D45/D43*100</f>
        <v>92.38095238</v>
      </c>
      <c r="E46" s="6" t="s">
        <v>97</v>
      </c>
      <c r="F46" s="6" t="s">
        <v>144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6" t="s">
        <v>149</v>
      </c>
      <c r="C47" s="6" t="s">
        <v>150</v>
      </c>
      <c r="D47" s="25">
        <f>D43*0.97</f>
        <v>24444</v>
      </c>
      <c r="E47" s="6" t="s">
        <v>21</v>
      </c>
      <c r="F47" s="6" t="s">
        <v>144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6" t="s">
        <v>151</v>
      </c>
      <c r="C48" s="6" t="s">
        <v>152</v>
      </c>
      <c r="D48" s="25">
        <f>D43*0.08</f>
        <v>2016</v>
      </c>
      <c r="E48" s="6" t="s">
        <v>21</v>
      </c>
      <c r="F48" s="6" t="s">
        <v>144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6" t="s">
        <v>153</v>
      </c>
      <c r="C49" s="6" t="s">
        <v>148</v>
      </c>
      <c r="D49" s="25">
        <f>D47/(D47+D48)</f>
        <v>0.9238095238</v>
      </c>
      <c r="E49" s="6" t="s">
        <v>97</v>
      </c>
      <c r="F49" s="6" t="s">
        <v>144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6" t="s">
        <v>154</v>
      </c>
      <c r="C50" s="6" t="s">
        <v>155</v>
      </c>
      <c r="D50" s="39">
        <f>D17*7*0.95</f>
        <v>5746.519443</v>
      </c>
      <c r="E50" s="6" t="s">
        <v>156</v>
      </c>
      <c r="F50" s="40" t="s">
        <v>157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6" t="s">
        <v>158</v>
      </c>
      <c r="C51" s="6" t="s">
        <v>159</v>
      </c>
      <c r="D51" s="11">
        <v>3.33</v>
      </c>
      <c r="E51" s="6" t="s">
        <v>38</v>
      </c>
      <c r="F51" s="7" t="s">
        <v>160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48.75" customHeight="1">
      <c r="A52" s="1"/>
      <c r="B52" s="6" t="s">
        <v>161</v>
      </c>
      <c r="C52" s="6" t="s">
        <v>162</v>
      </c>
      <c r="D52" s="41">
        <f>D51*D50/D45</f>
        <v>0.8219892502</v>
      </c>
      <c r="E52" s="6" t="s">
        <v>23</v>
      </c>
      <c r="F52" s="40" t="s">
        <v>209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57.75" customHeight="1">
      <c r="A53" s="1"/>
      <c r="B53" s="6" t="s">
        <v>164</v>
      </c>
      <c r="C53" s="6" t="s">
        <v>165</v>
      </c>
      <c r="D53" s="42">
        <f>MIN(D6/D51,1)</f>
        <v>1</v>
      </c>
      <c r="E53" s="6" t="s">
        <v>23</v>
      </c>
      <c r="F53" s="40" t="s">
        <v>166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6" t="s">
        <v>167</v>
      </c>
      <c r="C54" s="6" t="s">
        <v>168</v>
      </c>
      <c r="D54" s="43">
        <f>D52*D53</f>
        <v>0.8219892502</v>
      </c>
      <c r="E54" s="6" t="s">
        <v>23</v>
      </c>
      <c r="F54" s="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6" t="s">
        <v>169</v>
      </c>
      <c r="C55" s="6" t="s">
        <v>170</v>
      </c>
      <c r="D55" s="36">
        <f>900*7*0.03</f>
        <v>189</v>
      </c>
      <c r="E55" s="4"/>
      <c r="F55" s="7" t="s">
        <v>171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6" t="s">
        <v>172</v>
      </c>
      <c r="C56" s="6" t="s">
        <v>173</v>
      </c>
      <c r="D56" s="42">
        <f>(D50-D55)/D50</f>
        <v>0.9671105263</v>
      </c>
      <c r="E56" s="4"/>
      <c r="F56" s="3" t="s">
        <v>174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6" t="s">
        <v>175</v>
      </c>
      <c r="C57" s="6" t="s">
        <v>176</v>
      </c>
      <c r="D57" s="42">
        <f>D49*D54*D56</f>
        <v>0.7343864978</v>
      </c>
      <c r="E57" s="4"/>
      <c r="F57" s="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I7:L7"/>
  </mergeCells>
  <hyperlinks>
    <hyperlink r:id="rId1" ref="I4"/>
    <hyperlink r:id="rId2" ref="I5"/>
    <hyperlink r:id="rId3" ref="U9"/>
    <hyperlink r:id="rId4" ref="U10"/>
    <hyperlink r:id="rId5" ref="U11"/>
    <hyperlink r:id="rId6" ref="U12"/>
    <hyperlink r:id="rId7" ref="U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"/>
</worksheet>
</file>